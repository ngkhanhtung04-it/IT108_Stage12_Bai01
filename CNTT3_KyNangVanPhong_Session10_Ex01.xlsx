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oDich" sheetId="1" state="visible" r:id="rId1"/>
    <sheet xmlns:r="http://schemas.openxmlformats.org/officeDocument/2006/relationships" name="TraCuuNguoiDung" sheetId="2" state="visible" r:id="rId2"/>
    <sheet xmlns:r="http://schemas.openxmlformats.org/officeDocument/2006/relationships" name="PhiDoiTac" sheetId="3" state="visible" r:id="rId3"/>
    <sheet xmlns:r="http://schemas.openxmlformats.org/officeDocument/2006/relationships" name="TongHop" sheetId="4" state="visible" r:id="rId4"/>
  </sheets>
  <definedNames>
    <definedName name="_xlnm._FilterDatabase" localSheetId="0" hidden="1">'GiaoDich'!$A$1:$L$11</definedName>
    <definedName name="_xlnm._FilterDatabase" localSheetId="1" hidden="1">'TraCuuNguoiDung'!$A$1:$B$7</definedName>
    <definedName name="_xlnm._FilterDatabase" localSheetId="2" hidden="1">'PhiDoiTac'!$A$1:$D$5</definedName>
    <definedName name="_xlnm._FilterDatabase" localSheetId="3" hidden="1">'TongHop'!$A$1:$B$9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1" customWidth="1" min="4" max="4"/>
    <col width="20" customWidth="1" min="5" max="5"/>
    <col width="14" customWidth="1" min="6" max="6"/>
    <col width="17" customWidth="1" min="7" max="7"/>
    <col width="14" customWidth="1" min="8" max="8"/>
    <col width="16" customWidth="1" min="9" max="9"/>
    <col width="30" customWidth="1" min="10" max="10"/>
    <col width="30" customWidth="1" min="11" max="11"/>
    <col width="16" customWidth="1" min="12" max="12"/>
  </cols>
  <sheetData>
    <row r="1" ht="32" customHeight="1">
      <c r="A1" s="1" t="inlineStr">
        <is>
          <t>transaction_id</t>
        </is>
      </c>
      <c r="B1" s="1" t="inlineStr">
        <is>
          <t>user_id</t>
        </is>
      </c>
      <c r="C1" s="1" t="inlineStr">
        <is>
          <t>ten_nguoi_dung_raw</t>
        </is>
      </c>
      <c r="D1" s="1" t="inlineStr">
        <is>
          <t>ten_nguoi_dung_sach</t>
        </is>
      </c>
      <c r="E1" s="1" t="inlineStr">
        <is>
          <t>loai_giao_dich</t>
        </is>
      </c>
      <c r="F1" s="1" t="inlineStr">
        <is>
          <t>so_tien_VND</t>
        </is>
      </c>
      <c r="G1" s="1" t="inlineStr">
        <is>
          <t>phi_doi_tac_VND</t>
        </is>
      </c>
      <c r="H1" s="1" t="inlineStr">
        <is>
          <t>trang_thai</t>
        </is>
      </c>
      <c r="I1" s="1" t="inlineStr">
        <is>
          <t>ngay_giao_dich</t>
        </is>
      </c>
      <c r="J1" s="1" t="inlineStr">
        <is>
          <t>ten_tra_cuu_VLOOKUP</t>
        </is>
      </c>
      <c r="K1" s="1" t="inlineStr">
        <is>
          <t>phi_tinh_lai_VLOOKUP</t>
        </is>
      </c>
      <c r="L1" s="1" t="inlineStr">
        <is>
          <t>chenh_lech_phi</t>
        </is>
      </c>
    </row>
    <row r="2">
      <c r="A2" s="2" t="inlineStr">
        <is>
          <t>TX1001</t>
        </is>
      </c>
      <c r="B2" s="2" t="inlineStr">
        <is>
          <t>U001</t>
        </is>
      </c>
      <c r="C2" s="2" t="inlineStr">
        <is>
          <t xml:space="preserve">  Nguyen Minh Anh </t>
        </is>
      </c>
      <c r="D2" s="2">
        <f>TRIM(C2)</f>
        <v/>
      </c>
      <c r="E2" s="2" t="inlineStr">
        <is>
          <t>Nap dien thoai</t>
        </is>
      </c>
      <c r="F2" s="3" t="n">
        <v>200000</v>
      </c>
      <c r="G2" s="3" t="n">
        <v>1200</v>
      </c>
      <c r="H2" s="2" t="inlineStr">
        <is>
          <t>SUCCESS</t>
        </is>
      </c>
      <c r="I2" s="2" t="inlineStr">
        <is>
          <t>2026-10-01</t>
        </is>
      </c>
      <c r="J2" s="2">
        <f>IFERROR(VLOOKUP(B2,TraCuuNguoiDung!$A$2:$B$7,2,FALSE),"KHÔNG TÌM THẤY")</f>
        <v/>
      </c>
      <c r="K2" s="3">
        <f>ROUND(F2*VLOOKUP(E2,PhiDoiTac!$A$2:$C$5,2,FALSE)+VLOOKUP(E2,PhiDoiTac!$A$2:$C$5,3,FALSE),0)</f>
        <v/>
      </c>
      <c r="L2" s="3">
        <f>G2-K2</f>
        <v/>
      </c>
    </row>
    <row r="3">
      <c r="A3" s="2" t="inlineStr">
        <is>
          <t>TX1002</t>
        </is>
      </c>
      <c r="B3" s="2" t="inlineStr">
        <is>
          <t>U002</t>
        </is>
      </c>
      <c r="C3" s="2" t="inlineStr">
        <is>
          <t xml:space="preserve">Tran Gia Bao  </t>
        </is>
      </c>
      <c r="D3" s="2">
        <f>TRIM(C3)</f>
        <v/>
      </c>
      <c r="E3" s="2" t="inlineStr">
        <is>
          <t>Thanh toan hoc phi</t>
        </is>
      </c>
      <c r="F3" s="3" t="n">
        <v>500000</v>
      </c>
      <c r="G3" s="3" t="n">
        <v>2500</v>
      </c>
      <c r="H3" s="2" t="inlineStr">
        <is>
          <t>SUCCESS</t>
        </is>
      </c>
      <c r="I3" s="2" t="inlineStr">
        <is>
          <t>2026-10-02</t>
        </is>
      </c>
      <c r="J3" s="2">
        <f>IFERROR(VLOOKUP(B3,TraCuuNguoiDung!$A$2:$B$7,2,FALSE),"KHÔNG TÌM THẤY")</f>
        <v/>
      </c>
      <c r="K3" s="3">
        <f>ROUND(F3*VLOOKUP(E3,PhiDoiTac!$A$2:$C$5,2,FALSE)+VLOOKUP(E3,PhiDoiTac!$A$2:$C$5,3,FALSE),0)</f>
        <v/>
      </c>
      <c r="L3" s="3">
        <f>G3-K3</f>
        <v/>
      </c>
    </row>
    <row r="4">
      <c r="A4" s="2" t="inlineStr">
        <is>
          <t>TX1003</t>
        </is>
      </c>
      <c r="B4" s="2" t="inlineStr">
        <is>
          <t>U003</t>
        </is>
      </c>
      <c r="C4" s="2" t="inlineStr">
        <is>
          <t xml:space="preserve"> Le Thu Ha</t>
        </is>
      </c>
      <c r="D4" s="2">
        <f>TRIM(C4)</f>
        <v/>
      </c>
      <c r="E4" s="2" t="inlineStr">
        <is>
          <t>Mua ve xe</t>
        </is>
      </c>
      <c r="F4" s="3" t="n">
        <v>150000</v>
      </c>
      <c r="G4" s="3" t="n">
        <v>900</v>
      </c>
      <c r="H4" s="2" t="inlineStr">
        <is>
          <t>SUCCESS</t>
        </is>
      </c>
      <c r="I4" s="2" t="inlineStr">
        <is>
          <t>2026-10-03</t>
        </is>
      </c>
      <c r="J4" s="2">
        <f>IFERROR(VLOOKUP(B4,TraCuuNguoiDung!$A$2:$B$7,2,FALSE),"KHÔNG TÌM THẤY")</f>
        <v/>
      </c>
      <c r="K4" s="3">
        <f>ROUND(F4*VLOOKUP(E4,PhiDoiTac!$A$2:$C$5,2,FALSE)+VLOOKUP(E4,PhiDoiTac!$A$2:$C$5,3,FALSE),0)</f>
        <v/>
      </c>
      <c r="L4" s="3">
        <f>G4-K4</f>
        <v/>
      </c>
    </row>
    <row r="5">
      <c r="A5" s="2" t="inlineStr">
        <is>
          <t>TX1004</t>
        </is>
      </c>
      <c r="B5" s="2" t="inlineStr">
        <is>
          <t>U001</t>
        </is>
      </c>
      <c r="C5" s="2" t="inlineStr">
        <is>
          <t xml:space="preserve">Nguyen Minh Anh  </t>
        </is>
      </c>
      <c r="D5" s="2">
        <f>TRIM(C5)</f>
        <v/>
      </c>
      <c r="E5" s="2" t="inlineStr">
        <is>
          <t>Nap dien thoai</t>
        </is>
      </c>
      <c r="F5" s="3" t="n">
        <v>100000</v>
      </c>
      <c r="G5" s="3" t="n">
        <v>600</v>
      </c>
      <c r="H5" s="2" t="inlineStr">
        <is>
          <t>SUCCESS</t>
        </is>
      </c>
      <c r="I5" s="2" t="inlineStr">
        <is>
          <t>2026-10-04</t>
        </is>
      </c>
      <c r="J5" s="2">
        <f>IFERROR(VLOOKUP(B5,TraCuuNguoiDung!$A$2:$B$7,2,FALSE),"KHÔNG TÌM THẤY")</f>
        <v/>
      </c>
      <c r="K5" s="3">
        <f>ROUND(F5*VLOOKUP(E5,PhiDoiTac!$A$2:$C$5,2,FALSE)+VLOOKUP(E5,PhiDoiTac!$A$2:$C$5,3,FALSE),0)</f>
        <v/>
      </c>
      <c r="L5" s="3">
        <f>G5-K5</f>
        <v/>
      </c>
    </row>
    <row r="6">
      <c r="A6" s="2" t="inlineStr">
        <is>
          <t>TX1005</t>
        </is>
      </c>
      <c r="B6" s="2" t="inlineStr">
        <is>
          <t>U004</t>
        </is>
      </c>
      <c r="C6" s="2" t="inlineStr">
        <is>
          <t xml:space="preserve">  Pham Quoc Huy</t>
        </is>
      </c>
      <c r="D6" s="2">
        <f>TRIM(C6)</f>
        <v/>
      </c>
      <c r="E6" s="2" t="inlineStr">
        <is>
          <t>Thanh toan dich vu</t>
        </is>
      </c>
      <c r="F6" s="3" t="n">
        <v>300000</v>
      </c>
      <c r="G6" s="3" t="n">
        <v>1800</v>
      </c>
      <c r="H6" s="2" t="inlineStr">
        <is>
          <t>FAILED</t>
        </is>
      </c>
      <c r="I6" s="2" t="inlineStr">
        <is>
          <t>2026-10-05</t>
        </is>
      </c>
      <c r="J6" s="2">
        <f>IFERROR(VLOOKUP(B6,TraCuuNguoiDung!$A$2:$B$7,2,FALSE),"KHÔNG TÌM THẤY")</f>
        <v/>
      </c>
      <c r="K6" s="3">
        <f>ROUND(F6*VLOOKUP(E6,PhiDoiTac!$A$2:$C$5,2,FALSE)+VLOOKUP(E6,PhiDoiTac!$A$2:$C$5,3,FALSE),0)</f>
        <v/>
      </c>
      <c r="L6" s="3">
        <f>G6-K6</f>
        <v/>
      </c>
    </row>
    <row r="7">
      <c r="A7" s="2" t="inlineStr">
        <is>
          <t>TX1006</t>
        </is>
      </c>
      <c r="B7" s="2" t="inlineStr">
        <is>
          <t>U005</t>
        </is>
      </c>
      <c r="C7" s="2" t="inlineStr">
        <is>
          <t xml:space="preserve">Vo Ngoc Mai </t>
        </is>
      </c>
      <c r="D7" s="2">
        <f>TRIM(C7)</f>
        <v/>
      </c>
      <c r="E7" s="2" t="inlineStr">
        <is>
          <t>Nap dien thoai</t>
        </is>
      </c>
      <c r="F7" s="3" t="n">
        <v>100000</v>
      </c>
      <c r="G7" s="3" t="n">
        <v>600</v>
      </c>
      <c r="H7" s="2" t="inlineStr">
        <is>
          <t>SUCCESS</t>
        </is>
      </c>
      <c r="I7" s="2" t="inlineStr">
        <is>
          <t>2026-10-06</t>
        </is>
      </c>
      <c r="J7" s="2">
        <f>IFERROR(VLOOKUP(B7,TraCuuNguoiDung!$A$2:$B$7,2,FALSE),"KHÔNG TÌM THẤY")</f>
        <v/>
      </c>
      <c r="K7" s="3">
        <f>ROUND(F7*VLOOKUP(E7,PhiDoiTac!$A$2:$C$5,2,FALSE)+VLOOKUP(E7,PhiDoiTac!$A$2:$C$5,3,FALSE),0)</f>
        <v/>
      </c>
      <c r="L7" s="3">
        <f>G7-K7</f>
        <v/>
      </c>
    </row>
    <row r="8">
      <c r="A8" s="2" t="inlineStr">
        <is>
          <t>TX1007</t>
        </is>
      </c>
      <c r="B8" s="2" t="inlineStr">
        <is>
          <t>U002</t>
        </is>
      </c>
      <c r="C8" s="2" t="inlineStr">
        <is>
          <t xml:space="preserve"> Tran Gia Bao</t>
        </is>
      </c>
      <c r="D8" s="2">
        <f>TRIM(C8)</f>
        <v/>
      </c>
      <c r="E8" s="2" t="inlineStr">
        <is>
          <t>Mua ve xe</t>
        </is>
      </c>
      <c r="F8" s="3" t="n">
        <v>80000</v>
      </c>
      <c r="G8" s="3" t="n">
        <v>480</v>
      </c>
      <c r="H8" s="2" t="inlineStr">
        <is>
          <t>SUCCESS</t>
        </is>
      </c>
      <c r="I8" s="2" t="inlineStr">
        <is>
          <t>2026-10-07</t>
        </is>
      </c>
      <c r="J8" s="2">
        <f>IFERROR(VLOOKUP(B8,TraCuuNguoiDung!$A$2:$B$7,2,FALSE),"KHÔNG TÌM THẤY")</f>
        <v/>
      </c>
      <c r="K8" s="3">
        <f>ROUND(F8*VLOOKUP(E8,PhiDoiTac!$A$2:$C$5,2,FALSE)+VLOOKUP(E8,PhiDoiTac!$A$2:$C$5,3,FALSE),0)</f>
        <v/>
      </c>
      <c r="L8" s="3">
        <f>G8-K8</f>
        <v/>
      </c>
    </row>
    <row r="9">
      <c r="A9" s="2" t="inlineStr">
        <is>
          <t>TX1008</t>
        </is>
      </c>
      <c r="B9" s="2" t="inlineStr">
        <is>
          <t>U006</t>
        </is>
      </c>
      <c r="C9" s="2" t="inlineStr">
        <is>
          <t>Do Khanh Linh</t>
        </is>
      </c>
      <c r="D9" s="2">
        <f>TRIM(C9)</f>
        <v/>
      </c>
      <c r="E9" s="2" t="inlineStr">
        <is>
          <t>Thanh toan hoc phi</t>
        </is>
      </c>
      <c r="F9" s="3" t="n">
        <v>450000</v>
      </c>
      <c r="G9" s="3" t="n">
        <v>2250</v>
      </c>
      <c r="H9" s="2" t="inlineStr">
        <is>
          <t>SUCCESS</t>
        </is>
      </c>
      <c r="I9" s="2" t="inlineStr">
        <is>
          <t>2026-10-08</t>
        </is>
      </c>
      <c r="J9" s="2">
        <f>IFERROR(VLOOKUP(B9,TraCuuNguoiDung!$A$2:$B$7,2,FALSE),"KHÔNG TÌM THẤY")</f>
        <v/>
      </c>
      <c r="K9" s="3">
        <f>ROUND(F9*VLOOKUP(E9,PhiDoiTac!$A$2:$C$5,2,FALSE)+VLOOKUP(E9,PhiDoiTac!$A$2:$C$5,3,FALSE),0)</f>
        <v/>
      </c>
      <c r="L9" s="3">
        <f>G9-K9</f>
        <v/>
      </c>
    </row>
    <row r="10">
      <c r="A10" s="2" t="inlineStr">
        <is>
          <t>TX1009</t>
        </is>
      </c>
      <c r="B10" s="2" t="inlineStr">
        <is>
          <t>U003</t>
        </is>
      </c>
      <c r="C10" s="2" t="inlineStr">
        <is>
          <t xml:space="preserve">Le Thu Ha </t>
        </is>
      </c>
      <c r="D10" s="2">
        <f>TRIM(C10)</f>
        <v/>
      </c>
      <c r="E10" s="2" t="inlineStr">
        <is>
          <t>Nap dien thoai</t>
        </is>
      </c>
      <c r="F10" s="3" t="n">
        <v>50000</v>
      </c>
      <c r="G10" s="3" t="n">
        <v>300</v>
      </c>
      <c r="H10" s="2" t="inlineStr">
        <is>
          <t>SUCCESS</t>
        </is>
      </c>
      <c r="I10" s="2" t="inlineStr">
        <is>
          <t>2026-10-09</t>
        </is>
      </c>
      <c r="J10" s="2">
        <f>IFERROR(VLOOKUP(B10,TraCuuNguoiDung!$A$2:$B$7,2,FALSE),"KHÔNG TÌM THẤY")</f>
        <v/>
      </c>
      <c r="K10" s="3">
        <f>ROUND(F10*VLOOKUP(E10,PhiDoiTac!$A$2:$C$5,2,FALSE)+VLOOKUP(E10,PhiDoiTac!$A$2:$C$5,3,FALSE),0)</f>
        <v/>
      </c>
      <c r="L10" s="3">
        <f>G10-K10</f>
        <v/>
      </c>
    </row>
    <row r="11">
      <c r="A11" s="2" t="inlineStr">
        <is>
          <t>TX1010</t>
        </is>
      </c>
      <c r="B11" s="2" t="inlineStr">
        <is>
          <t>U005</t>
        </is>
      </c>
      <c r="C11" s="2" t="inlineStr">
        <is>
          <t>Vo Ngoc Mai</t>
        </is>
      </c>
      <c r="D11" s="2">
        <f>TRIM(C11)</f>
        <v/>
      </c>
      <c r="E11" s="2" t="inlineStr">
        <is>
          <t>Thanh toan dich vu</t>
        </is>
      </c>
      <c r="F11" s="3" t="n">
        <v>120000</v>
      </c>
      <c r="G11" s="3" t="n">
        <v>720</v>
      </c>
      <c r="H11" s="2" t="inlineStr">
        <is>
          <t>SUCCESS</t>
        </is>
      </c>
      <c r="I11" s="2" t="inlineStr">
        <is>
          <t>2026-10-10</t>
        </is>
      </c>
      <c r="J11" s="2">
        <f>IFERROR(VLOOKUP(B11,TraCuuNguoiDung!$A$2:$B$7,2,FALSE),"KHÔNG TÌM THẤY")</f>
        <v/>
      </c>
      <c r="K11" s="3">
        <f>ROUND(F11*VLOOKUP(E11,PhiDoiTac!$A$2:$C$5,2,FALSE)+VLOOKUP(E11,PhiDoiTac!$A$2:$C$5,3,FALSE),0)</f>
        <v/>
      </c>
      <c r="L11" s="3">
        <f>G11-K11</f>
        <v/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</cols>
  <sheetData>
    <row r="1" ht="32" customHeight="1">
      <c r="A1" s="1" t="inlineStr">
        <is>
          <t>user_id</t>
        </is>
      </c>
      <c r="B1" s="1" t="inlineStr">
        <is>
          <t>ten_nguoi_dung</t>
        </is>
      </c>
    </row>
    <row r="2">
      <c r="A2" s="2" t="inlineStr">
        <is>
          <t>U001</t>
        </is>
      </c>
      <c r="B2" s="2" t="inlineStr">
        <is>
          <t>Nguyen Minh Anh</t>
        </is>
      </c>
    </row>
    <row r="3">
      <c r="A3" s="2" t="inlineStr">
        <is>
          <t>U002</t>
        </is>
      </c>
      <c r="B3" s="2" t="inlineStr">
        <is>
          <t>Tran Gia Bao</t>
        </is>
      </c>
    </row>
    <row r="4">
      <c r="A4" s="2" t="inlineStr">
        <is>
          <t>U003</t>
        </is>
      </c>
      <c r="B4" s="2" t="inlineStr">
        <is>
          <t>Le Thu Ha</t>
        </is>
      </c>
    </row>
    <row r="5">
      <c r="A5" s="2" t="inlineStr">
        <is>
          <t>U004</t>
        </is>
      </c>
      <c r="B5" s="2" t="inlineStr">
        <is>
          <t>Pham Quoc Huy</t>
        </is>
      </c>
    </row>
    <row r="6">
      <c r="A6" s="2" t="inlineStr">
        <is>
          <t>U005</t>
        </is>
      </c>
      <c r="B6" s="2" t="inlineStr">
        <is>
          <t>Vo Ngoc Mai</t>
        </is>
      </c>
    </row>
    <row r="7">
      <c r="A7" s="2" t="inlineStr">
        <is>
          <t>U006</t>
        </is>
      </c>
      <c r="B7" s="2" t="inlineStr">
        <is>
          <t>Do Khanh Linh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6" customWidth="1" min="4" max="4"/>
  </cols>
  <sheetData>
    <row r="1" ht="32" customHeight="1">
      <c r="A1" s="1" t="inlineStr">
        <is>
          <t>loai_giao_dich</t>
        </is>
      </c>
      <c r="B1" s="1" t="inlineStr">
        <is>
          <t>ty_le_phi</t>
        </is>
      </c>
      <c r="C1" s="1" t="inlineStr">
        <is>
          <t>phi_co_dinh_VND</t>
        </is>
      </c>
      <c r="D1" s="1" t="inlineStr">
        <is>
          <t>ghi_chu</t>
        </is>
      </c>
    </row>
    <row r="2">
      <c r="A2" s="2" t="inlineStr">
        <is>
          <t>Nap dien thoai</t>
        </is>
      </c>
      <c r="B2" s="4" t="n">
        <v>0.006</v>
      </c>
      <c r="C2" s="2" t="n">
        <v>0</v>
      </c>
      <c r="D2" s="2" t="inlineStr">
        <is>
          <t>Minh hoa: 0,6%</t>
        </is>
      </c>
    </row>
    <row r="3">
      <c r="A3" s="2" t="inlineStr">
        <is>
          <t>Thanh toan hoc phi</t>
        </is>
      </c>
      <c r="B3" s="4" t="n">
        <v>0.005</v>
      </c>
      <c r="C3" s="2" t="n">
        <v>0</v>
      </c>
      <c r="D3" s="2" t="inlineStr">
        <is>
          <t>Minh hoa: 0,5%</t>
        </is>
      </c>
    </row>
    <row r="4">
      <c r="A4" s="2" t="inlineStr">
        <is>
          <t>Mua ve xe</t>
        </is>
      </c>
      <c r="B4" s="4" t="n">
        <v>0.006</v>
      </c>
      <c r="C4" s="2" t="n">
        <v>0</v>
      </c>
      <c r="D4" s="2" t="inlineStr">
        <is>
          <t>Minh hoa: 0,6%</t>
        </is>
      </c>
    </row>
    <row r="5">
      <c r="A5" s="2" t="inlineStr">
        <is>
          <t>Thanh toan dich vu</t>
        </is>
      </c>
      <c r="B5" s="4" t="n">
        <v>0.006</v>
      </c>
      <c r="C5" s="2" t="n">
        <v>0</v>
      </c>
      <c r="D5" s="2" t="inlineStr">
        <is>
          <t>Minh hoa: 0,6%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32" customHeight="1">
      <c r="A1" s="1" t="inlineStr">
        <is>
          <t>CHI SO</t>
        </is>
      </c>
      <c r="B1" s="1" t="inlineStr">
        <is>
          <t>GIA TRI</t>
        </is>
      </c>
    </row>
    <row r="2">
      <c r="A2" s="5" t="inlineStr">
        <is>
          <t>Tong giao dich</t>
        </is>
      </c>
      <c r="B2" s="2">
        <f>COUNTA(GiaoDich!A2:A11)</f>
        <v/>
      </c>
    </row>
    <row r="3">
      <c r="A3" s="5" t="inlineStr">
        <is>
          <t>Tong gia tri giao dich (VND)</t>
        </is>
      </c>
      <c r="B3" s="3">
        <f>SUM(GiaoDich!F2:F11)</f>
        <v/>
      </c>
    </row>
    <row r="4">
      <c r="A4" s="5" t="inlineStr">
        <is>
          <t>Tong phi doi tac ghi nhan (VND)</t>
        </is>
      </c>
      <c r="B4" s="3">
        <f>SUM(GiaoDich!G2:G11)</f>
        <v/>
      </c>
    </row>
    <row r="5">
      <c r="A5" s="5" t="inlineStr">
        <is>
          <t>Tong phi tinh lai (VND)</t>
        </is>
      </c>
      <c r="B5" s="3">
        <f>SUM(GiaoDich!K2:K11)</f>
        <v/>
      </c>
    </row>
    <row r="6">
      <c r="A6" s="5" t="inlineStr">
        <is>
          <t>Tong chenh lech phi (VND)</t>
        </is>
      </c>
      <c r="B6" s="3">
        <f>SUM(GiaoDich!L2:L11)</f>
        <v/>
      </c>
    </row>
    <row r="7">
      <c r="A7" s="5" t="inlineStr">
        <is>
          <t>Giao dich SUCCESS</t>
        </is>
      </c>
      <c r="B7" s="2">
        <f>COUNTIF(GiaoDich!H2:H11,"SUCCESS")</f>
        <v/>
      </c>
    </row>
    <row r="8">
      <c r="A8" s="5" t="inlineStr">
        <is>
          <t>Giao dich FAILED</t>
        </is>
      </c>
      <c r="B8" s="2">
        <f>COUNTIF(GiaoDich!H2:H11,"FAILED")</f>
        <v/>
      </c>
    </row>
    <row r="9">
      <c r="A9" s="5" t="inlineStr">
        <is>
          <t>Ghi chu</t>
        </is>
      </c>
      <c r="B9" s="2" t="inlineStr">
        <is>
          <t>Du lieu mo phong, dung cho bai tap; cap nhat cong thuc trong Excel neu can.</t>
        </is>
      </c>
    </row>
    <row r="11">
      <c r="A11" s="6" t="inlineStr">
        <is>
          <t>Luu y</t>
        </is>
      </c>
      <c r="B11" t="inlineStr">
        <is>
          <t>Cot ten_nguoi_dung_sach su dung TRIM; cot ten_tra_cuu_VLOOKUP tra theo user_id voi FALSE.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2026-10-26T17:10:18Z</dcterms:created>
  <dcterms:modified xmlns:dcterms="http://purl.org/dc/terms/" xmlns:xsi="http://www.w3.org/2001/XMLSchema-instance" xsi:type="dcterms:W3CDTF">2026-10-26T17:10:18Z</dcterms:modified>
</cp:coreProperties>
</file>